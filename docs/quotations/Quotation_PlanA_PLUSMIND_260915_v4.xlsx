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A " sheetId="1" state="visible" r:id="rId3"/>
  </sheets>
  <definedNames>
    <definedName function="false" hidden="false" localSheetId="0" name="_xlnm.Print_Area" vbProcedure="false">'PLAN A '!$B$1:$F$121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<sst xmlns="http://schemas.openxmlformats.org/spreadsheetml/2006/main" count="111" uniqueCount="111">
  <si>
    <t xml:space="preserve">QUOTATION - LINE PRODUCTION</t>
  </si>
  <si>
    <t xml:space="preserve">DATE:   </t>
  </si>
  <si>
    <t xml:space="preserve">QUOTE NO</t>
  </si>
  <si>
    <t xml:space="preserve">A.15.09.2026</t>
  </si>
  <si>
    <t xml:space="preserve">PRODUCT:   </t>
  </si>
  <si>
    <t xml:space="preserve">Marina Bay Sands (MBS)</t>
  </si>
  <si>
    <t xml:space="preserve">AGENCY</t>
  </si>
  <si>
    <t xml:space="preserve">BBH Singapore</t>
  </si>
  <si>
    <t xml:space="preserve">PROJECT TITLE:   </t>
  </si>
  <si>
    <t xml:space="preserve">MBS Restaurants Campaign - Film Studio Shoot (Chefs &amp; Customers Dance)</t>
  </si>
  <si>
    <t xml:space="preserve">FORMAT</t>
  </si>
  <si>
    <t xml:space="preserve">Full HD</t>
  </si>
  <si>
    <t xml:space="preserve">DURATION:   </t>
  </si>
  <si>
    <t xml:space="preserve">1 x30s (9:16)
1 x15s (16:9)</t>
  </si>
  <si>
    <t xml:space="preserve">DIRECTOR </t>
  </si>
  <si>
    <t xml:space="preserve">Provided by Client</t>
  </si>
  <si>
    <t xml:space="preserve">LANGUAGE:   </t>
  </si>
  <si>
    <t xml:space="preserve">English</t>
  </si>
  <si>
    <t xml:space="preserve">DAY OF SHOOTING</t>
  </si>
  <si>
    <t xml:space="preserve">1 x film studio shoot day + 3 x rehearsal days in Saigon (15 hours/day)</t>
  </si>
  <si>
    <t xml:space="preserve">v4</t>
  </si>
  <si>
    <t xml:space="preserve">ITEMS</t>
  </si>
  <si>
    <t xml:space="preserve">DESCRIPTION</t>
  </si>
  <si>
    <t xml:space="preserve">USD</t>
  </si>
  <si>
    <t xml:space="preserve">Exchange Rate: </t>
  </si>
  <si>
    <t xml:space="preserve">SHOOTING DAY 1 - FILM STUDIO SHOOT (SAIGON, VIETNAM)</t>
  </si>
  <si>
    <t xml:space="preserve">PRE PRODUCTION</t>
  </si>
  <si>
    <t xml:space="preserve">SHOOTING BOARD (Provided by Client)</t>
  </si>
  <si>
    <t xml:space="preserve">DANCE REHEARSAL STUDIO (3 days // Choreographer &amp; 18 dancer talents)</t>
  </si>
  <si>
    <t xml:space="preserve">PRE-PRODUCTION MEETING, SCHEDULING &amp; CASTING SESSION</t>
  </si>
  <si>
    <t xml:space="preserve">PRODUCTION CREW</t>
  </si>
  <si>
    <t xml:space="preserve">PRODUCER PLAN A</t>
  </si>
  <si>
    <t xml:space="preserve">PRODUCTION MANAGER PLAN A</t>
  </si>
  <si>
    <t xml:space="preserve">1st ASSISTANT DIRECTOR (Rehearsal days &amp; shoot day)</t>
  </si>
  <si>
    <t xml:space="preserve">FOCUS PULLER</t>
  </si>
  <si>
    <t xml:space="preserve">ART DIRECTOR (Kitchen &amp; dining set design, build supervision)</t>
  </si>
  <si>
    <t xml:space="preserve">FOOD STYLIST (1 prep day + 1 shoot day)</t>
  </si>
  <si>
    <t xml:space="preserve">HAIR &amp; MAKE-UP TEAM (18 talents // 1 shoot day)</t>
  </si>
  <si>
    <t xml:space="preserve">WARDROBE STYLIST (Uniform fittings &amp; on set)</t>
  </si>
  <si>
    <t xml:space="preserve">SOUND ONSET</t>
  </si>
  <si>
    <t xml:space="preserve">PROPS TEAM (10 pax for 4 days setting up, 10 pax for 1 day shoot)</t>
  </si>
  <si>
    <t xml:space="preserve">BEHIND THE SCENE (Without editing, only send footage)</t>
  </si>
  <si>
    <t xml:space="preserve">PRODUCTION ASSISTANTS (3)</t>
  </si>
  <si>
    <t xml:space="preserve">TECHNICAL RENT &amp; LIGHT CREW MEMBERS</t>
  </si>
  <si>
    <t xml:space="preserve">CAMERA &amp; LENSES (1 shoot day)</t>
  </si>
  <si>
    <t xml:space="preserve">LIGHTING PACKAGE (1 shoot day)</t>
  </si>
  <si>
    <t xml:space="preserve">CAMERA TEAM</t>
  </si>
  <si>
    <t xml:space="preserve">PRELIGHT (WITHOUT CAMERA AND LENS)</t>
  </si>
  <si>
    <t xml:space="preserve">QTAKE &amp; TEAM &amp; LICENSE/DATA</t>
  </si>
  <si>
    <t xml:space="preserve">ELECTRONIC</t>
  </si>
  <si>
    <t xml:space="preserve">STUDIO, ART DEPT, PROPS &amp; WARDROBE</t>
  </si>
  <si>
    <t xml:space="preserve">STUDIO (4 days setting up, 1 day rehearsal, 1 day shoot)</t>
  </si>
  <si>
    <t xml:space="preserve">KITCHEN &amp; DINING SET BUILD AND PROPPING (Set/props rental &amp; purchase)</t>
  </si>
  <si>
    <t xml:space="preserve">COMPREHENSIVE SET RIGGING</t>
  </si>
  <si>
    <t xml:space="preserve">TAILORED UNIFORMS (x18 // 10 x Chefs, 8 x Customers)</t>
  </si>
  <si>
    <t xml:space="preserve">TALENTS &amp; CASTING (Usage: 12 months non-exclusive from 1st air date | All platforms, no print/KV/Billboard | Territory: SG, TH, VN, MY, ID, KR, JP)</t>
  </si>
  <si>
    <t xml:space="preserve">MAIN CHEF TALENT - DANCER (1) // Caucasian / based in Vietnam | 3 rehearsal days + 1 shoot day</t>
  </si>
  <si>
    <t xml:space="preserve">CHEF TALENTS - DANCERS (9) // Asian / based in Vietnam | 3 rehearsal days + 1 shoot day</t>
  </si>
  <si>
    <t xml:space="preserve">CUSTOMER TALENTS - DANCERS (8) // Asian / based in Vietnam | 3 rehearsal days + 1 shoot day</t>
  </si>
  <si>
    <t xml:space="preserve">CHOREOGRAPHER (Proposed: Quyen Con - @bboyquyencon, subject to availability) | Concept, 3 rehearsal days + 1 shoot day</t>
  </si>
  <si>
    <t xml:space="preserve">CASTING MANAGEMENT (Vietnam // Dancer casting)</t>
  </si>
  <si>
    <t xml:space="preserve">OTHERS</t>
  </si>
  <si>
    <t xml:space="preserve">CRAFT SERVICES &amp; CATERING (3 rehearsal days x 30 pax/day + 1 shoot day x 100 pax)</t>
  </si>
  <si>
    <t xml:space="preserve">GROUND TRANSPORTATION (Pre-Pro, rehearsal days &amp; shooting day)</t>
  </si>
  <si>
    <t xml:space="preserve">SHOOTING LICENSE</t>
  </si>
  <si>
    <t xml:space="preserve">PETTY CASH</t>
  </si>
  <si>
    <t xml:space="preserve">SHOOTING DAY 2 - FILM ON LOCATION SHOOT (SINGAPORE) // Handled by Client</t>
  </si>
  <si>
    <t xml:space="preserve">ON-LOCATION SET UP (Provided by Client - footage supplied to Plan A for editing)</t>
  </si>
  <si>
    <t xml:space="preserve">EXTERIOR SHOTS (Provided by Client)</t>
  </si>
  <si>
    <t xml:space="preserve">3 x RESTAURANT LOCATIONS (Provided by Client)</t>
  </si>
  <si>
    <t xml:space="preserve">1 x ICONIC RESTAURANT - MARINA BAY VIEW (Provided by Client)</t>
  </si>
  <si>
    <t xml:space="preserve">EXCLUSIVE RESTAURANT FILMING ACCESS (Provided by MBS)</t>
  </si>
  <si>
    <t xml:space="preserve">ON-SITE FOOD STYLING &amp; PLATED DISHES (Provided by MBS)</t>
  </si>
  <si>
    <t xml:space="preserve">POST PRODUCTION</t>
  </si>
  <si>
    <t xml:space="preserve">POST-PRODUCTION (1 x 30s 9:16, 1 x 15s 16:9 // incl. Singapore footage supplied by Client)</t>
  </si>
  <si>
    <t xml:space="preserve">OFFLINE EDITING</t>
  </si>
  <si>
    <t xml:space="preserve">COLORIST // 1 Session - 2 days</t>
  </si>
  <si>
    <t xml:space="preserve">FULL ONLINE &amp; VFX</t>
  </si>
  <si>
    <t xml:space="preserve">SOUND DESIGN (Excluding music)</t>
  </si>
  <si>
    <t xml:space="preserve">MUSIC (Excluded - Provided by Client)</t>
  </si>
  <si>
    <t xml:space="preserve">HARD DRIVE (2x 4TB SSD)</t>
  </si>
  <si>
    <t xml:space="preserve">SUB TOTAL</t>
  </si>
  <si>
    <t xml:space="preserve">PRODUCTION SERVICE 10%</t>
  </si>
  <si>
    <t xml:space="preserve">TOTAL (EXCLUDED 8% VAT)</t>
  </si>
  <si>
    <t xml:space="preserve">QUOTATION INCLUDES :</t>
  </si>
  <si>
    <t xml:space="preserve">- Shooting Day 1 (Vietnam): 3 x dance rehearsal days + 1 x film studio shoot day in Saigon (15 hours/day)</t>
  </si>
  <si>
    <t xml:space="preserve">- Kitchen &amp; dining set build and propping, comprehensive set rigging, tailored uniforms for 18 talents</t>
  </si>
  <si>
    <t xml:space="preserve">- Choreographer, food stylist, hair &amp; make-up team, production crew, technical crew &amp; equipment</t>
  </si>
  <si>
    <t xml:space="preserve">- 18 x dancer talents (10 x Chefs, 8 x Customers) | Usage: 12 months non-exclusive from 1st air date | Territory: Singapore, Thailand, Vietnam, Malaysia, Indonesia, Korea, Japan</t>
  </si>
  <si>
    <t xml:space="preserve">- Post production: offline editing, colorist, full online &amp; VFX, sound design (excluding music)</t>
  </si>
  <si>
    <t xml:space="preserve">QUOTATION EXCLUDES :</t>
  </si>
  <si>
    <t xml:space="preserve">- Director &amp; DOP (Provided by Client)</t>
  </si>
  <si>
    <t xml:space="preserve">- Shooting Day 2 - Film on location shoot in Singapore (Handled by Client; footage to be supplied to Plan A for editing)</t>
  </si>
  <si>
    <t xml:space="preserve">- Location fees, exclusive restaurant filming access, on-site food styling &amp; plated dishes in Singapore (Provided by MBS)</t>
  </si>
  <si>
    <t xml:space="preserve">- Music, VO talent &amp; recording, 8% VAT</t>
  </si>
  <si>
    <t xml:space="preserve">REMARK:</t>
  </si>
  <si>
    <t xml:space="preserve">- Product, Supers files and Tracing of Print Layout are provided by Client.</t>
  </si>
  <si>
    <t xml:space="preserve">- Rehearsal days quoted at 3 (brief indicates 2-3); rehearsal-related costs will be revised if 2 days are sufficient.</t>
  </si>
  <si>
    <t xml:space="preserve">- Main chef talent: Caucasian, based in Vietnam. Other chef &amp; customer talents: Asian dancers, based in Vietnam. Talent fees include 3 rehearsal days, 1 shoot day and the usage stated above; additional territories or period to be quoted separately.</t>
  </si>
  <si>
    <t xml:space="preserve">- Choreographer: Quyen Con (@bboyquyencon) proposed as 1st choice, subject to availability; alternative choreographer profiles to be shared separately.</t>
  </si>
  <si>
    <t xml:space="preserve">- Singapore footage (Shooting Day 2) to be delivered to Plan A in a format and resolution agreed before offline editing.</t>
  </si>
  <si>
    <t xml:space="preserve">WEATHER CONTINGENCY: WILL BE INVOICED BASED ON ACTUAL COST</t>
  </si>
  <si>
    <t xml:space="preserve">CANCELLATION FEE:</t>
  </si>
  <si>
    <t xml:space="preserve">- Cancellation after Job awarded: 40% of project cost.</t>
  </si>
  <si>
    <t xml:space="preserve">- Cancellation before 1 week to the shoot date: 80% of project cost. Cancellation before 24 hours: 100% of project cost.</t>
  </si>
  <si>
    <t xml:space="preserve">TERMS OF PAYMENT</t>
  </si>
  <si>
    <t xml:space="preserve">- FIRST 50% PAYMENT SETTLED BEFORE SHOOTING DATE</t>
  </si>
  <si>
    <t xml:space="preserve">- BALANCE 50% PAYMENT SETTLED UPON HARD DRIVE DELIVERY 7 DAYS</t>
  </si>
  <si>
    <t xml:space="preserve">YOURS SINCERELY,                                                                                 CONFIRMED AND ACCEPTED BY</t>
  </si>
  <si>
    <t xml:space="preserve">Angel Uyen Nguyen</t>
  </si>
  <si>
    <t xml:space="preserve">Executive Producer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</si>
</sst>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_);\(#,##0\)"/>
    <numFmt numFmtId="166" formatCode="_-* #,##0.00_-;\-* #,##0.00_-;_-* \-??_-;_-@_-"/>
    <numFmt numFmtId="167" formatCode="[$-409]dd\-mmm\-yy;@"/>
    <numFmt numFmtId="168" formatCode="d\-mmm\-yy"/>
    <numFmt numFmtId="169" formatCode="_(* #,##0_);_(* \(#,##0\);_(* \-_);_(@_)"/>
    <numFmt numFmtId="170" formatCode="_(* #,##0.00_);_(* \(#,##0.00\);_(* \-_);_(@_)"/>
    <numFmt numFmtId="171" formatCode="_-* #,##0_-;\-* #,##0_-;_-* \-??_-;_-@_-"/>
  </numFmts>
  <fonts count="23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2"/>
      <color rgb="FFC00000"/>
      <name val="Arial"/>
      <family val="2"/>
      <charset val="1"/>
    </font>
    <font>
      <b val="true"/>
      <sz val="10"/>
      <color rgb="FF333333"/>
      <name val="Arial"/>
      <family val="2"/>
      <charset val="1"/>
    </font>
    <font>
      <b val="true"/>
      <sz val="10"/>
      <color rgb="FF0070C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C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i val="true"/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11"/>
      <color theme="1"/>
      <name val="Arial"/>
      <family val="2"/>
      <charset val="1"/>
    </font>
    <font>
      <i val="true"/>
      <sz val="11"/>
      <color rgb="FFFF0000"/>
      <name val="Arial"/>
      <family val="2"/>
      <charset val="1"/>
    </font>
    <font>
      <b val="true"/>
      <sz val="11"/>
      <color theme="0"/>
      <name val="Arial"/>
      <family val="2"/>
      <charset val="1"/>
    </font>
    <font>
      <b val="true"/>
      <i val="true"/>
      <sz val="10"/>
      <color theme="0"/>
      <name val="Arial"/>
      <family val="2"/>
      <charset val="1"/>
    </font>
    <font>
      <b val="true"/>
      <i val="true"/>
      <u val="single"/>
      <sz val="10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C00000"/>
        <bgColor rgb="FFFF0000"/>
      </patternFill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theme="1" tint="0.2499"/>
        <bgColor rgb="FF333333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5" fillId="2" borderId="5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1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7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7" fillId="5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7" fillId="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0" fillId="3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0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0404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2962080</xdr:colOff>
      <xdr:row>5</xdr:row>
      <xdr:rowOff>12240</xdr:rowOff>
    </xdr:from>
    <xdr:to>
      <xdr:col>3</xdr:col>
      <xdr:colOff>3840840</xdr:colOff>
      <xdr:row>8</xdr:row>
      <xdr:rowOff>5400</xdr:rowOff>
    </xdr:to>
    <xdr:pic>
      <xdr:nvPicPr>
        <xdr:cNvPr id="0" name="Picture 6" descr=""/>
        <xdr:cNvPicPr/>
      </xdr:nvPicPr>
      <xdr:blipFill>
        <a:blip r:embed="rId1"/>
        <a:stretch/>
      </xdr:blipFill>
      <xdr:spPr>
        <a:xfrm>
          <a:off x="8402760" y="907560"/>
          <a:ext cx="878760" cy="1050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120"/>
  <sheetViews>
    <sheetView showFormulas="false" showGridLines="true" showRowColHeaders="true" showZeros="true" rightToLeft="false" tabSelected="true" showOutlineSymbols="true" defaultGridColor="true" view="pageBreakPreview" topLeftCell="A30" colorId="64" zoomScale="110" zoomScaleNormal="106" zoomScalePageLayoutView="110" workbookViewId="0">
      <selection pane="topLeft" activeCell="I66" activeCellId="0" sqref="I66"/>
    </sheetView>
  </sheetViews>
  <sheetFormatPr defaultColWidth="11" defaultRowHeight="12.75" zeroHeight="false" outlineLevelRow="0" outlineLevelCol="0"/>
  <cols>
    <col collapsed="false" customWidth="true" hidden="false" outlineLevel="0" max="1" min="1" style="1" width="3.16"/>
    <col collapsed="false" customWidth="true" hidden="false" outlineLevel="0" max="2" min="2" style="1" width="18.5"/>
    <col collapsed="false" customWidth="true" hidden="false" outlineLevel="0" max="3" min="3" style="1" width="34.33"/>
    <col collapsed="false" customWidth="true" hidden="false" outlineLevel="0" max="4" min="4" style="1" width="64.83"/>
    <col collapsed="false" customWidth="true" hidden="false" outlineLevel="0" max="5" min="5" style="2" width="28"/>
    <col collapsed="false" customWidth="true" hidden="false" outlineLevel="0" max="6" min="6" style="1" width="28"/>
    <col collapsed="false" customWidth="false" hidden="false" outlineLevel="0" max="7" min="7" style="1" width="11"/>
    <col collapsed="false" customWidth="false" hidden="false" outlineLevel="0" max="8" min="8" style="3" width="11"/>
    <col collapsed="false" customWidth="false" hidden="false" outlineLevel="0" max="16384" min="9" style="1" width="11"/>
  </cols>
  <sheetData>
    <row r="1" customFormat="false" ht="16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>
      <c r="B3" s="4" t="s">
        <v>0</v>
      </c>
      <c r="C3" s="4"/>
      <c r="D3" s="4"/>
      <c r="E3" s="4"/>
      <c r="F3" s="4"/>
    </row>
    <row r="4" customFormat="false" ht="13.5" hidden="false" customHeight="true" outlineLevel="0" collapsed="false"/>
    <row r="5" customFormat="false" ht="13.5" hidden="false" customHeight="true" outlineLevel="0" collapsed="false">
      <c r="B5" s="5" t="s">
        <v>1</v>
      </c>
      <c r="C5" s="6" t="n">
        <v>46280</v>
      </c>
      <c r="D5" s="7"/>
      <c r="E5" s="8" t="s">
        <v>2</v>
      </c>
      <c r="F5" s="9" t="s">
        <v>3</v>
      </c>
    </row>
    <row r="6" customFormat="false" ht="13.5" hidden="false" customHeight="true" outlineLevel="0" collapsed="false">
      <c r="B6" s="5" t="s">
        <v>4</v>
      </c>
      <c r="C6" s="9" t="s">
        <v>5</v>
      </c>
      <c r="D6" s="10"/>
      <c r="E6" s="8" t="s">
        <v>6</v>
      </c>
      <c r="F6" s="9" t="s">
        <v>7</v>
      </c>
    </row>
    <row r="7" customFormat="false" ht="27.75" hidden="false" customHeight="true" outlineLevel="0" collapsed="false">
      <c r="B7" s="5" t="s">
        <v>8</v>
      </c>
      <c r="C7" s="11" t="s">
        <v>9</v>
      </c>
      <c r="D7" s="12"/>
      <c r="E7" s="8" t="s">
        <v>10</v>
      </c>
      <c r="F7" s="9" t="s">
        <v>11</v>
      </c>
    </row>
    <row r="8" customFormat="false" ht="42" hidden="false" customHeight="true" outlineLevel="0" collapsed="false">
      <c r="B8" s="5" t="s">
        <v>12</v>
      </c>
      <c r="C8" s="11" t="s">
        <v>13</v>
      </c>
      <c r="D8" s="11"/>
      <c r="E8" s="8" t="s">
        <v>14</v>
      </c>
      <c r="F8" s="9" t="s">
        <v>15</v>
      </c>
    </row>
    <row r="9" customFormat="false" ht="27.75" hidden="false" customHeight="true" outlineLevel="0" collapsed="false">
      <c r="B9" s="5" t="s">
        <v>16</v>
      </c>
      <c r="C9" s="9" t="s">
        <v>17</v>
      </c>
      <c r="D9" s="10"/>
      <c r="E9" s="8" t="s">
        <v>18</v>
      </c>
      <c r="F9" s="13" t="s">
        <v>19</v>
      </c>
    </row>
    <row r="10" customFormat="false" ht="13.5" hidden="false" customHeight="true" outlineLevel="0" collapsed="false">
      <c r="B10" s="5"/>
      <c r="C10" s="9"/>
      <c r="D10" s="10"/>
      <c r="E10" s="8"/>
      <c r="F10" s="14"/>
    </row>
    <row r="11" customFormat="false" ht="13.5" hidden="false" customHeight="true" outlineLevel="0" collapsed="false">
      <c r="B11" s="5"/>
      <c r="C11" s="9"/>
      <c r="D11" s="10"/>
      <c r="E11" s="8"/>
      <c r="F11" s="14"/>
    </row>
    <row r="12" customFormat="false" ht="13.5" hidden="false" customHeight="true" outlineLevel="0" collapsed="false">
      <c r="B12" s="15"/>
      <c r="C12" s="15"/>
      <c r="D12" s="10"/>
      <c r="E12" s="16"/>
      <c r="F12" s="17" t="s">
        <v>20</v>
      </c>
    </row>
    <row r="13" customFormat="false" ht="13.5" hidden="false" customHeight="true" outlineLevel="0" collapsed="false">
      <c r="B13" s="18" t="s">
        <v>21</v>
      </c>
      <c r="C13" s="19"/>
      <c r="D13" s="19" t="s">
        <v>22</v>
      </c>
      <c r="E13" s="20" t="s">
        <v>23</v>
      </c>
      <c r="F13" s="21"/>
    </row>
    <row r="14" customFormat="false" ht="13.5" hidden="false" customHeight="true" outlineLevel="0" collapsed="false">
      <c r="B14" s="22"/>
      <c r="D14" s="14"/>
      <c r="E14" s="23" t="s">
        <v>24</v>
      </c>
      <c r="F14" s="24"/>
    </row>
    <row r="15" customFormat="false" ht="15.75" hidden="false" customHeight="true" outlineLevel="0" collapsed="false">
      <c r="B15" s="25" t="s">
        <v>25</v>
      </c>
      <c r="C15" s="25"/>
      <c r="D15" s="25"/>
      <c r="E15" s="25"/>
      <c r="F15" s="25"/>
    </row>
    <row r="16" customFormat="false" ht="13.5" hidden="false" customHeight="true" outlineLevel="0" collapsed="false">
      <c r="B16" s="26" t="s">
        <v>26</v>
      </c>
      <c r="C16" s="27"/>
      <c r="D16" s="14"/>
      <c r="E16" s="28"/>
      <c r="F16" s="29"/>
    </row>
    <row r="17" customFormat="false" ht="13.5" hidden="false" customHeight="true" outlineLevel="0" collapsed="false">
      <c r="B17" s="26"/>
      <c r="C17" s="14" t="s">
        <v>27</v>
      </c>
      <c r="D17" s="27"/>
      <c r="E17" s="30" t="n">
        <v>0</v>
      </c>
      <c r="F17" s="31"/>
    </row>
    <row r="18" customFormat="false" ht="13.5" hidden="false" customHeight="true" outlineLevel="0" collapsed="false">
      <c r="B18" s="26"/>
      <c r="C18" s="14" t="s">
        <v>28</v>
      </c>
      <c r="D18" s="27"/>
      <c r="E18" s="30" t="n">
        <f aca="false">3*300</f>
        <v>900</v>
      </c>
      <c r="F18" s="31"/>
    </row>
    <row r="19" customFormat="false" ht="13.5" hidden="false" customHeight="true" outlineLevel="0" collapsed="false">
      <c r="B19" s="26"/>
      <c r="C19" s="14" t="s">
        <v>29</v>
      </c>
      <c r="D19" s="27"/>
      <c r="E19" s="30" t="n">
        <v>500</v>
      </c>
      <c r="F19" s="31"/>
    </row>
    <row r="20" customFormat="false" ht="13.5" hidden="false" customHeight="true" outlineLevel="0" collapsed="false">
      <c r="B20" s="32"/>
      <c r="C20" s="27"/>
      <c r="D20" s="14"/>
      <c r="E20" s="33" t="n">
        <f aca="false">SUM(E16:E19)</f>
        <v>1400</v>
      </c>
      <c r="F20" s="34"/>
    </row>
    <row r="21" customFormat="false" ht="13.5" hidden="false" customHeight="true" outlineLevel="0" collapsed="false">
      <c r="B21" s="26" t="s">
        <v>30</v>
      </c>
      <c r="C21" s="27"/>
      <c r="D21" s="14"/>
      <c r="E21" s="28"/>
      <c r="F21" s="29"/>
    </row>
    <row r="22" customFormat="false" ht="13.5" hidden="false" customHeight="true" outlineLevel="0" collapsed="false">
      <c r="B22" s="26"/>
      <c r="C22" s="14" t="s">
        <v>31</v>
      </c>
      <c r="D22" s="27"/>
      <c r="E22" s="30" t="n">
        <v>2000</v>
      </c>
      <c r="F22" s="31"/>
    </row>
    <row r="23" customFormat="false" ht="13.5" hidden="false" customHeight="true" outlineLevel="0" collapsed="false">
      <c r="B23" s="26"/>
      <c r="C23" s="14" t="s">
        <v>32</v>
      </c>
      <c r="D23" s="27"/>
      <c r="E23" s="30" t="n">
        <v>2000</v>
      </c>
      <c r="F23" s="31"/>
    </row>
    <row r="24" customFormat="false" ht="13.5" hidden="false" customHeight="true" outlineLevel="0" collapsed="false">
      <c r="B24" s="26"/>
      <c r="C24" s="14" t="s">
        <v>33</v>
      </c>
      <c r="D24" s="27"/>
      <c r="E24" s="30" t="n">
        <v>1500</v>
      </c>
      <c r="F24" s="31"/>
    </row>
    <row r="25" customFormat="false" ht="13.5" hidden="false" customHeight="true" outlineLevel="0" collapsed="false">
      <c r="B25" s="26"/>
      <c r="C25" s="14" t="s">
        <v>34</v>
      </c>
      <c r="D25" s="27"/>
      <c r="E25" s="30" t="n">
        <v>600</v>
      </c>
      <c r="F25" s="31"/>
    </row>
    <row r="26" customFormat="false" ht="13.5" hidden="false" customHeight="true" outlineLevel="0" collapsed="false">
      <c r="B26" s="26"/>
      <c r="C26" s="14" t="s">
        <v>35</v>
      </c>
      <c r="D26" s="27"/>
      <c r="E26" s="30" t="n">
        <v>3800</v>
      </c>
      <c r="F26" s="31"/>
    </row>
    <row r="27" customFormat="false" ht="13.5" hidden="false" customHeight="true" outlineLevel="0" collapsed="false">
      <c r="B27" s="26"/>
      <c r="C27" s="14" t="s">
        <v>36</v>
      </c>
      <c r="D27" s="27"/>
      <c r="E27" s="30" t="n">
        <v>1500</v>
      </c>
      <c r="F27" s="31"/>
    </row>
    <row r="28" customFormat="false" ht="13.5" hidden="false" customHeight="true" outlineLevel="0" collapsed="false">
      <c r="B28" s="26"/>
      <c r="C28" s="14" t="s">
        <v>37</v>
      </c>
      <c r="D28" s="27"/>
      <c r="E28" s="30" t="n">
        <v>1200</v>
      </c>
      <c r="F28" s="31"/>
    </row>
    <row r="29" s="3" customFormat="true" ht="13.5" hidden="false" customHeight="true" outlineLevel="0" collapsed="false">
      <c r="B29" s="26"/>
      <c r="C29" s="14" t="s">
        <v>38</v>
      </c>
      <c r="D29" s="27"/>
      <c r="E29" s="30" t="n">
        <v>1300</v>
      </c>
      <c r="F29" s="31"/>
    </row>
    <row r="30" s="3" customFormat="true" ht="13.5" hidden="false" customHeight="true" outlineLevel="0" collapsed="false">
      <c r="B30" s="26"/>
      <c r="C30" s="14" t="s">
        <v>39</v>
      </c>
      <c r="D30" s="27"/>
      <c r="E30" s="30" t="n">
        <v>500</v>
      </c>
      <c r="F30" s="31"/>
    </row>
    <row r="31" s="3" customFormat="true" ht="13.5" hidden="false" customHeight="true" outlineLevel="0" collapsed="false">
      <c r="B31" s="26"/>
      <c r="C31" s="14" t="s">
        <v>40</v>
      </c>
      <c r="D31" s="27"/>
      <c r="E31" s="30" t="n">
        <v>4200</v>
      </c>
      <c r="F31" s="31"/>
    </row>
    <row r="32" s="3" customFormat="true" ht="13.5" hidden="false" customHeight="true" outlineLevel="0" collapsed="false">
      <c r="B32" s="26"/>
      <c r="C32" s="14" t="s">
        <v>41</v>
      </c>
      <c r="D32" s="27"/>
      <c r="E32" s="30" t="n">
        <v>500</v>
      </c>
      <c r="F32" s="31"/>
    </row>
    <row r="33" s="3" customFormat="true" ht="13.5" hidden="false" customHeight="true" outlineLevel="0" collapsed="false">
      <c r="B33" s="26"/>
      <c r="C33" s="14" t="s">
        <v>42</v>
      </c>
      <c r="D33" s="27"/>
      <c r="E33" s="30" t="n">
        <v>700</v>
      </c>
      <c r="F33" s="31"/>
    </row>
    <row r="34" customFormat="false" ht="13.5" hidden="false" customHeight="true" outlineLevel="0" collapsed="false">
      <c r="B34" s="32"/>
      <c r="C34" s="27"/>
      <c r="D34" s="14"/>
      <c r="E34" s="33" t="n">
        <f aca="false">SUM(E21:E33)</f>
        <v>19800</v>
      </c>
      <c r="F34" s="34"/>
    </row>
    <row r="35" customFormat="false" ht="13.5" hidden="false" customHeight="true" outlineLevel="0" collapsed="false">
      <c r="B35" s="26" t="s">
        <v>43</v>
      </c>
      <c r="C35" s="27"/>
      <c r="D35" s="14"/>
      <c r="E35" s="28"/>
      <c r="F35" s="29"/>
    </row>
    <row r="36" customFormat="false" ht="13.5" hidden="false" customHeight="true" outlineLevel="0" collapsed="false">
      <c r="B36" s="26"/>
      <c r="C36" s="14" t="s">
        <v>44</v>
      </c>
      <c r="D36" s="27"/>
      <c r="E36" s="30" t="n">
        <v>2500</v>
      </c>
      <c r="F36" s="31"/>
    </row>
    <row r="37" customFormat="false" ht="13.5" hidden="false" customHeight="true" outlineLevel="0" collapsed="false">
      <c r="B37" s="26"/>
      <c r="C37" s="14" t="s">
        <v>45</v>
      </c>
      <c r="D37" s="27"/>
      <c r="E37" s="30" t="n">
        <v>2500</v>
      </c>
      <c r="F37" s="31"/>
    </row>
    <row r="38" customFormat="false" ht="13.5" hidden="false" customHeight="true" outlineLevel="0" collapsed="false">
      <c r="B38" s="26"/>
      <c r="C38" s="14" t="s">
        <v>46</v>
      </c>
      <c r="D38" s="27"/>
      <c r="E38" s="30" t="n">
        <v>2500</v>
      </c>
      <c r="F38" s="31"/>
    </row>
    <row r="39" customFormat="false" ht="13.5" hidden="false" customHeight="true" outlineLevel="0" collapsed="false">
      <c r="B39" s="26"/>
      <c r="C39" s="14" t="s">
        <v>47</v>
      </c>
      <c r="D39" s="27"/>
      <c r="E39" s="30" t="n">
        <v>2000</v>
      </c>
      <c r="F39" s="31"/>
    </row>
    <row r="40" customFormat="false" ht="13.5" hidden="false" customHeight="true" outlineLevel="0" collapsed="false">
      <c r="B40" s="26"/>
      <c r="C40" s="14" t="s">
        <v>48</v>
      </c>
      <c r="D40" s="27"/>
      <c r="E40" s="30" t="n">
        <v>500</v>
      </c>
      <c r="F40" s="31"/>
    </row>
    <row r="41" customFormat="false" ht="13.5" hidden="false" customHeight="true" outlineLevel="0" collapsed="false">
      <c r="B41" s="26"/>
      <c r="C41" s="14" t="s">
        <v>49</v>
      </c>
      <c r="D41" s="27"/>
      <c r="E41" s="30" t="n">
        <v>600</v>
      </c>
      <c r="F41" s="31"/>
    </row>
    <row r="42" customFormat="false" ht="13.5" hidden="false" customHeight="true" outlineLevel="0" collapsed="false">
      <c r="B42" s="32"/>
      <c r="C42" s="27"/>
      <c r="D42" s="14"/>
      <c r="E42" s="33" t="n">
        <f aca="false">SUM(E35:E41)</f>
        <v>10600</v>
      </c>
      <c r="F42" s="34"/>
    </row>
    <row r="43" customFormat="false" ht="13.5" hidden="false" customHeight="true" outlineLevel="0" collapsed="false">
      <c r="B43" s="26" t="s">
        <v>50</v>
      </c>
      <c r="C43" s="27"/>
      <c r="D43" s="14"/>
      <c r="E43" s="28"/>
      <c r="F43" s="29"/>
    </row>
    <row r="44" customFormat="false" ht="13.5" hidden="false" customHeight="true" outlineLevel="0" collapsed="false">
      <c r="B44" s="26"/>
      <c r="C44" s="14" t="s">
        <v>51</v>
      </c>
      <c r="D44" s="27"/>
      <c r="E44" s="30" t="n">
        <v>4000</v>
      </c>
      <c r="F44" s="31"/>
    </row>
    <row r="45" customFormat="false" ht="13.5" hidden="false" customHeight="true" outlineLevel="0" collapsed="false">
      <c r="B45" s="26"/>
      <c r="C45" s="14" t="s">
        <v>52</v>
      </c>
      <c r="D45" s="27"/>
      <c r="E45" s="30" t="n">
        <v>15000</v>
      </c>
      <c r="F45" s="31"/>
    </row>
    <row r="46" customFormat="false" ht="13.5" hidden="false" customHeight="true" outlineLevel="0" collapsed="false">
      <c r="B46" s="26"/>
      <c r="C46" s="14" t="s">
        <v>53</v>
      </c>
      <c r="D46" s="27"/>
      <c r="E46" s="30" t="n">
        <v>2500</v>
      </c>
      <c r="F46" s="31"/>
    </row>
    <row r="47" customFormat="false" ht="13.5" hidden="false" customHeight="true" outlineLevel="0" collapsed="false">
      <c r="B47" s="26"/>
      <c r="C47" s="14" t="s">
        <v>54</v>
      </c>
      <c r="D47" s="27"/>
      <c r="E47" s="30" t="n">
        <f aca="false">18*200</f>
        <v>3600</v>
      </c>
      <c r="F47" s="31"/>
    </row>
    <row r="48" customFormat="false" ht="13.5" hidden="false" customHeight="true" outlineLevel="0" collapsed="false">
      <c r="B48" s="32"/>
      <c r="C48" s="27"/>
      <c r="D48" s="14"/>
      <c r="E48" s="33" t="n">
        <f aca="false">SUM(E43:E47)</f>
        <v>25100</v>
      </c>
      <c r="F48" s="34"/>
    </row>
    <row r="49" customFormat="false" ht="13.5" hidden="false" customHeight="true" outlineLevel="0" collapsed="false">
      <c r="B49" s="26" t="s">
        <v>55</v>
      </c>
      <c r="C49" s="27"/>
      <c r="D49" s="14"/>
      <c r="E49" s="28"/>
      <c r="F49" s="29"/>
    </row>
    <row r="50" customFormat="false" ht="13.5" hidden="false" customHeight="true" outlineLevel="0" collapsed="false">
      <c r="B50" s="26"/>
      <c r="C50" s="14" t="s">
        <v>56</v>
      </c>
      <c r="D50" s="27"/>
      <c r="E50" s="30" t="n">
        <v>4500</v>
      </c>
      <c r="F50" s="31"/>
    </row>
    <row r="51" s="3" customFormat="true" ht="13.5" hidden="false" customHeight="true" outlineLevel="0" collapsed="false">
      <c r="B51" s="26"/>
      <c r="C51" s="14" t="s">
        <v>57</v>
      </c>
      <c r="D51" s="27"/>
      <c r="E51" s="30" t="n">
        <f aca="false">9*1500</f>
        <v>13500</v>
      </c>
      <c r="F51" s="31"/>
    </row>
    <row r="52" s="3" customFormat="true" ht="13.5" hidden="false" customHeight="true" outlineLevel="0" collapsed="false">
      <c r="B52" s="26"/>
      <c r="C52" s="14" t="s">
        <v>58</v>
      </c>
      <c r="D52" s="27"/>
      <c r="E52" s="30" t="n">
        <f aca="false">8*1000</f>
        <v>8000</v>
      </c>
      <c r="F52" s="31"/>
    </row>
    <row r="53" s="3" customFormat="true" ht="13.5" hidden="false" customHeight="true" outlineLevel="0" collapsed="false">
      <c r="B53" s="26"/>
      <c r="C53" s="14" t="s">
        <v>59</v>
      </c>
      <c r="D53" s="27"/>
      <c r="E53" s="30" t="n">
        <v>3000</v>
      </c>
      <c r="F53" s="31"/>
    </row>
    <row r="54" s="3" customFormat="true" ht="13.5" hidden="false" customHeight="true" outlineLevel="0" collapsed="false">
      <c r="B54" s="26"/>
      <c r="C54" s="14" t="s">
        <v>60</v>
      </c>
      <c r="D54" s="27"/>
      <c r="E54" s="30" t="n">
        <v>1000</v>
      </c>
      <c r="F54" s="31"/>
    </row>
    <row r="55" s="3" customFormat="true" ht="13.5" hidden="false" customHeight="true" outlineLevel="0" collapsed="false">
      <c r="B55" s="32"/>
      <c r="C55" s="27"/>
      <c r="D55" s="14"/>
      <c r="E55" s="33" t="n">
        <f aca="false">SUM(E49:E54)</f>
        <v>30000</v>
      </c>
      <c r="F55" s="34"/>
    </row>
    <row r="56" s="3" customFormat="true" ht="13.5" hidden="false" customHeight="true" outlineLevel="0" collapsed="false">
      <c r="B56" s="26" t="s">
        <v>61</v>
      </c>
      <c r="C56" s="27"/>
      <c r="D56" s="14"/>
      <c r="E56" s="28"/>
      <c r="F56" s="29"/>
    </row>
    <row r="57" s="3" customFormat="true" ht="13.5" hidden="false" customHeight="true" outlineLevel="0" collapsed="false">
      <c r="B57" s="26"/>
      <c r="C57" s="14" t="s">
        <v>62</v>
      </c>
      <c r="D57" s="27"/>
      <c r="E57" s="30" t="n">
        <f aca="false">3*400+1500</f>
        <v>2700</v>
      </c>
      <c r="F57" s="31"/>
    </row>
    <row r="58" s="3" customFormat="true" ht="13.5" hidden="false" customHeight="true" outlineLevel="0" collapsed="false">
      <c r="B58" s="26"/>
      <c r="C58" s="14" t="s">
        <v>63</v>
      </c>
      <c r="D58" s="27"/>
      <c r="E58" s="30" t="n">
        <v>2000</v>
      </c>
      <c r="F58" s="31"/>
    </row>
    <row r="59" s="3" customFormat="true" ht="13.5" hidden="false" customHeight="true" outlineLevel="0" collapsed="false">
      <c r="B59" s="26"/>
      <c r="C59" s="14" t="s">
        <v>64</v>
      </c>
      <c r="D59" s="27"/>
      <c r="E59" s="30" t="n">
        <v>1000</v>
      </c>
      <c r="F59" s="31"/>
    </row>
    <row r="60" s="3" customFormat="true" ht="13.5" hidden="false" customHeight="true" outlineLevel="0" collapsed="false">
      <c r="B60" s="26"/>
      <c r="C60" s="14" t="s">
        <v>65</v>
      </c>
      <c r="D60" s="27"/>
      <c r="E60" s="30" t="n">
        <v>1000</v>
      </c>
      <c r="F60" s="31"/>
    </row>
    <row r="61" s="3" customFormat="true" ht="13.5" hidden="false" customHeight="true" outlineLevel="0" collapsed="false">
      <c r="B61" s="32"/>
      <c r="C61" s="27"/>
      <c r="D61" s="14"/>
      <c r="E61" s="33" t="n">
        <f aca="false">SUM(E56:E60)</f>
        <v>6700</v>
      </c>
      <c r="F61" s="34"/>
    </row>
    <row r="62" s="3" customFormat="true" ht="15.75" hidden="false" customHeight="true" outlineLevel="0" collapsed="false">
      <c r="B62" s="25" t="s">
        <v>66</v>
      </c>
      <c r="C62" s="25"/>
      <c r="D62" s="25"/>
      <c r="E62" s="25"/>
      <c r="F62" s="25"/>
    </row>
    <row r="63" s="3" customFormat="true" ht="13.5" hidden="false" customHeight="true" outlineLevel="0" collapsed="false">
      <c r="B63" s="26" t="s">
        <v>67</v>
      </c>
      <c r="C63" s="27"/>
      <c r="D63" s="14"/>
      <c r="E63" s="28"/>
      <c r="F63" s="29"/>
    </row>
    <row r="64" s="3" customFormat="true" ht="13.5" hidden="false" customHeight="true" outlineLevel="0" collapsed="false">
      <c r="B64" s="26"/>
      <c r="C64" s="14" t="s">
        <v>68</v>
      </c>
      <c r="D64" s="27"/>
      <c r="E64" s="30" t="n">
        <v>0</v>
      </c>
      <c r="F64" s="31"/>
    </row>
    <row r="65" customFormat="false" ht="13.5" hidden="false" customHeight="true" outlineLevel="0" collapsed="false">
      <c r="B65" s="26"/>
      <c r="C65" s="14" t="s">
        <v>69</v>
      </c>
      <c r="D65" s="27"/>
      <c r="E65" s="30" t="n">
        <v>0</v>
      </c>
      <c r="F65" s="31"/>
    </row>
    <row r="66" customFormat="false" ht="13.5" hidden="false" customHeight="true" outlineLevel="0" collapsed="false">
      <c r="B66" s="26"/>
      <c r="C66" s="14" t="s">
        <v>70</v>
      </c>
      <c r="D66" s="27"/>
      <c r="E66" s="30" t="n">
        <v>0</v>
      </c>
      <c r="F66" s="31"/>
    </row>
    <row r="67" customFormat="false" ht="13.5" hidden="false" customHeight="true" outlineLevel="0" collapsed="false">
      <c r="B67" s="26"/>
      <c r="C67" s="14" t="s">
        <v>71</v>
      </c>
      <c r="D67" s="27"/>
      <c r="E67" s="30" t="n">
        <v>0</v>
      </c>
      <c r="F67" s="31"/>
    </row>
    <row r="68" s="35" customFormat="true" ht="13.5" hidden="false" customHeight="true" outlineLevel="0" collapsed="false">
      <c r="B68" s="26"/>
      <c r="C68" s="14" t="s">
        <v>72</v>
      </c>
      <c r="D68" s="27"/>
      <c r="E68" s="30" t="n">
        <v>0</v>
      </c>
      <c r="F68" s="31"/>
    </row>
    <row r="69" s="35" customFormat="true" ht="13.5" hidden="false" customHeight="true" outlineLevel="0" collapsed="false">
      <c r="B69" s="32"/>
      <c r="C69" s="27"/>
      <c r="D69" s="14"/>
      <c r="E69" s="33" t="n">
        <f aca="false">SUM(E63:E68)</f>
        <v>0</v>
      </c>
      <c r="F69" s="34"/>
    </row>
    <row r="70" s="35" customFormat="true" ht="15.75" hidden="false" customHeight="true" outlineLevel="0" collapsed="false">
      <c r="B70" s="25" t="s">
        <v>73</v>
      </c>
      <c r="C70" s="25"/>
      <c r="D70" s="25"/>
      <c r="E70" s="25"/>
      <c r="F70" s="25"/>
    </row>
    <row r="71" customFormat="false" ht="13.5" hidden="false" customHeight="true" outlineLevel="0" collapsed="false">
      <c r="B71" s="26" t="s">
        <v>74</v>
      </c>
      <c r="C71" s="27"/>
      <c r="D71" s="14"/>
      <c r="E71" s="28"/>
      <c r="F71" s="29"/>
    </row>
    <row r="72" customFormat="false" ht="13.5" hidden="false" customHeight="true" outlineLevel="0" collapsed="false">
      <c r="B72" s="26"/>
      <c r="C72" s="14" t="s">
        <v>75</v>
      </c>
      <c r="D72" s="27"/>
      <c r="E72" s="30" t="n">
        <v>3000</v>
      </c>
      <c r="F72" s="31"/>
    </row>
    <row r="73" customFormat="false" ht="13.5" hidden="false" customHeight="true" outlineLevel="0" collapsed="false">
      <c r="B73" s="26"/>
      <c r="C73" s="14" t="s">
        <v>76</v>
      </c>
      <c r="D73" s="27"/>
      <c r="E73" s="30" t="n">
        <v>2500</v>
      </c>
      <c r="F73" s="31"/>
    </row>
    <row r="74" customFormat="false" ht="13.5" hidden="false" customHeight="true" outlineLevel="0" collapsed="false">
      <c r="B74" s="26"/>
      <c r="C74" s="14" t="s">
        <v>77</v>
      </c>
      <c r="D74" s="27"/>
      <c r="E74" s="30" t="n">
        <v>4000</v>
      </c>
      <c r="F74" s="31"/>
    </row>
    <row r="75" customFormat="false" ht="13.5" hidden="false" customHeight="true" outlineLevel="0" collapsed="false">
      <c r="B75" s="26"/>
      <c r="C75" s="14" t="s">
        <v>78</v>
      </c>
      <c r="D75" s="27"/>
      <c r="E75" s="30" t="n">
        <v>1500</v>
      </c>
      <c r="F75" s="31"/>
    </row>
    <row r="76" customFormat="false" ht="13.5" hidden="false" customHeight="true" outlineLevel="0" collapsed="false">
      <c r="B76" s="26"/>
      <c r="C76" s="14" t="s">
        <v>79</v>
      </c>
      <c r="D76" s="27"/>
      <c r="E76" s="30" t="n">
        <v>0</v>
      </c>
      <c r="F76" s="31"/>
    </row>
    <row r="77" customFormat="false" ht="13.5" hidden="false" customHeight="true" outlineLevel="0" collapsed="false">
      <c r="B77" s="26"/>
      <c r="C77" s="14" t="s">
        <v>80</v>
      </c>
      <c r="D77" s="27"/>
      <c r="E77" s="30" t="n">
        <v>400</v>
      </c>
      <c r="F77" s="31"/>
    </row>
    <row r="78" customFormat="false" ht="13.5" hidden="false" customHeight="true" outlineLevel="0" collapsed="false">
      <c r="B78" s="32"/>
      <c r="C78" s="27"/>
      <c r="D78" s="14"/>
      <c r="E78" s="33" t="n">
        <f aca="false">SUM(E71:E77)</f>
        <v>11400</v>
      </c>
      <c r="F78" s="34"/>
    </row>
    <row r="79" customFormat="false" ht="18.75" hidden="false" customHeight="true" outlineLevel="0" collapsed="false">
      <c r="B79" s="36"/>
      <c r="C79" s="37"/>
      <c r="D79" s="38" t="s">
        <v>81</v>
      </c>
      <c r="E79" s="39" t="n">
        <f aca="false">E20+E34+E42+E48+E55+E61+E69+E78</f>
        <v>105000</v>
      </c>
      <c r="F79" s="40"/>
    </row>
    <row r="80" customFormat="false" ht="18.75" hidden="false" customHeight="true" outlineLevel="0" collapsed="false">
      <c r="B80" s="36"/>
      <c r="C80" s="41"/>
      <c r="D80" s="42" t="s">
        <v>82</v>
      </c>
      <c r="E80" s="43" t="n">
        <f aca="false">E79*0.1</f>
        <v>10500</v>
      </c>
      <c r="F80" s="44"/>
    </row>
    <row r="81" customFormat="false" ht="18.75" hidden="false" customHeight="true" outlineLevel="0" collapsed="false">
      <c r="B81" s="36"/>
      <c r="C81" s="37"/>
      <c r="D81" s="45" t="s">
        <v>83</v>
      </c>
      <c r="E81" s="46" t="n">
        <f aca="false">SUM(E79:E80)</f>
        <v>115500</v>
      </c>
      <c r="F81" s="47"/>
    </row>
    <row r="82" customFormat="false" ht="13.5" hidden="false" customHeight="true" outlineLevel="0" collapsed="false">
      <c r="B82" s="48"/>
      <c r="C82" s="48"/>
      <c r="D82" s="48"/>
      <c r="E82" s="48"/>
      <c r="F82" s="48"/>
    </row>
    <row r="83" customFormat="false" ht="13.5" hidden="false" customHeight="true" outlineLevel="0" collapsed="false"/>
    <row r="84" s="3" customFormat="true" ht="13.5" hidden="false" customHeight="true" outlineLevel="0" collapsed="false"/>
    <row r="85" s="3" customFormat="true" ht="13.5" hidden="false" customHeight="true" outlineLevel="0" collapsed="false"/>
    <row r="86" s="3" customFormat="true" ht="13.5" hidden="false" customHeight="true" outlineLevel="0" collapsed="false">
      <c r="B86" s="49" t="s">
        <v>84</v>
      </c>
    </row>
    <row r="87" s="3" customFormat="true" ht="13.5" hidden="false" customHeight="true" outlineLevel="0" collapsed="false">
      <c r="B87" s="14" t="s">
        <v>85</v>
      </c>
    </row>
    <row r="88" s="3" customFormat="true" ht="13.5" hidden="false" customHeight="true" outlineLevel="0" collapsed="false">
      <c r="B88" s="14" t="s">
        <v>86</v>
      </c>
    </row>
    <row r="89" s="3" customFormat="true" ht="13.5" hidden="false" customHeight="true" outlineLevel="0" collapsed="false">
      <c r="B89" s="14" t="s">
        <v>87</v>
      </c>
    </row>
    <row r="90" s="3" customFormat="true" ht="13.5" hidden="false" customHeight="true" outlineLevel="0" collapsed="false">
      <c r="B90" s="14" t="s">
        <v>88</v>
      </c>
    </row>
    <row r="91" s="3" customFormat="true" ht="13.5" hidden="false" customHeight="true" outlineLevel="0" collapsed="false">
      <c r="B91" s="14" t="s">
        <v>89</v>
      </c>
    </row>
    <row r="92" s="3" customFormat="true" ht="13.5" hidden="false" customHeight="true" outlineLevel="0" collapsed="false"/>
    <row r="93" s="3" customFormat="true" ht="13.5" hidden="false" customHeight="true" outlineLevel="0" collapsed="false">
      <c r="B93" s="49" t="s">
        <v>90</v>
      </c>
    </row>
    <row r="94" s="3" customFormat="true" ht="13.5" hidden="false" customHeight="true" outlineLevel="0" collapsed="false">
      <c r="B94" s="1" t="s">
        <v>91</v>
      </c>
    </row>
    <row r="95" s="3" customFormat="true" ht="13.5" hidden="false" customHeight="true" outlineLevel="0" collapsed="false">
      <c r="B95" s="1" t="s">
        <v>92</v>
      </c>
    </row>
    <row r="96" s="3" customFormat="true" ht="13.5" hidden="false" customHeight="true" outlineLevel="0" collapsed="false">
      <c r="B96" s="1" t="s">
        <v>93</v>
      </c>
    </row>
    <row r="97" s="3" customFormat="true" ht="13.5" hidden="false" customHeight="true" outlineLevel="0" collapsed="false">
      <c r="B97" s="1" t="s">
        <v>94</v>
      </c>
    </row>
    <row r="98" s="3" customFormat="true" ht="13.5" hidden="false" customHeight="true" outlineLevel="0" collapsed="false"/>
    <row r="99" s="3" customFormat="true" ht="13.5" hidden="false" customHeight="true" outlineLevel="0" collapsed="false">
      <c r="B99" s="49" t="s">
        <v>95</v>
      </c>
    </row>
    <row r="100" customFormat="false" ht="13.5" hidden="false" customHeight="true" outlineLevel="0" collapsed="false">
      <c r="B100" s="1" t="s">
        <v>96</v>
      </c>
    </row>
    <row r="101" customFormat="false" ht="13.5" hidden="false" customHeight="true" outlineLevel="0" collapsed="false">
      <c r="B101" s="1" t="s">
        <v>97</v>
      </c>
    </row>
    <row r="102" customFormat="false" ht="13.5" hidden="false" customHeight="true" outlineLevel="0" collapsed="false">
      <c r="B102" s="1" t="s">
        <v>98</v>
      </c>
    </row>
    <row r="103" customFormat="false" ht="13.5" hidden="false" customHeight="true" outlineLevel="0" collapsed="false">
      <c r="B103" s="1" t="s">
        <v>99</v>
      </c>
    </row>
    <row r="104" customFormat="false" ht="13.5" hidden="false" customHeight="true" outlineLevel="0" collapsed="false">
      <c r="B104" s="1" t="s">
        <v>100</v>
      </c>
    </row>
    <row r="105" customFormat="false" ht="13.5" hidden="false" customHeight="true" outlineLevel="0" collapsed="false">
      <c r="B105" s="49" t="s">
        <v>101</v>
      </c>
    </row>
    <row r="106" customFormat="false" ht="13.5" hidden="false" customHeight="true" outlineLevel="0" collapsed="false">
      <c r="B106" s="49" t="s">
        <v>102</v>
      </c>
    </row>
    <row r="107" customFormat="false" ht="13.5" hidden="false" customHeight="true" outlineLevel="0" collapsed="false">
      <c r="B107" s="1" t="s">
        <v>103</v>
      </c>
    </row>
    <row r="108" customFormat="false" ht="13.5" hidden="false" customHeight="true" outlineLevel="0" collapsed="false">
      <c r="B108" s="1" t="s">
        <v>104</v>
      </c>
    </row>
    <row r="109" customFormat="false" ht="13.5" hidden="false" customHeight="true" outlineLevel="0" collapsed="false">
      <c r="B109" s="49" t="s">
        <v>105</v>
      </c>
    </row>
    <row r="110" customFormat="false" ht="13.5" hidden="false" customHeight="true" outlineLevel="0" collapsed="false">
      <c r="B110" s="50" t="s">
        <v>106</v>
      </c>
    </row>
    <row r="111" customFormat="false" ht="13.5" hidden="false" customHeight="true" outlineLevel="0" collapsed="false">
      <c r="B111" s="50" t="s">
        <v>107</v>
      </c>
    </row>
    <row r="112" customFormat="false" ht="13.5" hidden="false" customHeight="true" outlineLevel="0" collapsed="false">
      <c r="B112" s="50" t="s">
        <v>108</v>
      </c>
    </row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>
      <c r="B118" s="50" t="s">
        <v>109</v>
      </c>
    </row>
    <row r="119" customFormat="false" ht="13.5" hidden="false" customHeight="true" outlineLevel="0" collapsed="false">
      <c r="B119" s="50" t="s">
        <v>110</v>
      </c>
    </row>
    <row r="120" customFormat="false" ht="13.5" hidden="false" customHeight="true" outlineLevel="0" collapsed="false"/>
  </sheetData>
  <mergeCells count="5">
    <mergeCell ref="B3:F3"/>
    <mergeCell ref="B15:F15"/>
    <mergeCell ref="B62:F62"/>
    <mergeCell ref="B70:F70"/>
    <mergeCell ref="B82:F8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2016-09-28T10:35:00Z</dcterms:created>
  <dc:creator>Microsoft Office User</dc:creator>
  <dc:description/>
  <dc:language>en-US</dc:language>
  <cp:lastModifiedBy>TRAN DUONG</cp:lastModifiedBy>
  <cp:lastPrinted>2025-09-11T03:30:47Z</cp:lastPrinted>
  <dcterms:modified xsi:type="dcterms:W3CDTF">2026-09-15T09:29:56Z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1033-10.2.0.7439</vt:lpwstr>
  </property>
</Properties>
</file>